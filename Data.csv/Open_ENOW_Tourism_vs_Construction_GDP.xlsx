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DP Comparison" sheetId="1" state="visible" r:id="rId3"/>
    <sheet name="Employment &amp; Establishments" sheetId="2" state="visible" r:id="rId4"/>
    <sheet name="Data Dictionary" sheetId="3" state="visible" r:id="rId5"/>
  </sheets>
  <definedNames>
    <definedName function="false" hidden="false" localSheetId="0" name="_xlnm.Print_Area" vbProcedure="false">'GDP Comparison'!$A$1:$J$77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<sst xmlns="http://schemas.openxmlformats.org/spreadsheetml/2006/main" count="57" uniqueCount="56">
  <si>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Ocean Economy: Tourism &amp; Recreation vs. Marine Construction</t>
  </si>
  <si>
    <t xml:space="preserve">Real (inflation-adjusted, 2024$) and nominal GDP, United States coastal economy, 2001–2024</t>
  </si>
  <si>
    <t xml:space="preserve">Source: NOAA Office for Coastal Management, Open Economics: National Ocean Watch (Open ENOW), 2001–2024 — www.coast.noaa.gov/digitalcoast/data/enow</t>
  </si>
  <si>
    <t xml:space="preserve">Year</t>
  </si>
  <si>
    <t xml:space="preserve">Tourism &amp; Recreation
GDP ($)</t>
  </si>
  <si>
    <t xml:space="preserve">Tourism &amp; Recreation
Real GDP (2024$)</t>
  </si>
  <si>
    <t xml:space="preserve">Marine Construction
GDP ($)</t>
  </si>
  <si>
    <t xml:space="preserve">Marine Construction
Real GDP (2024$)</t>
  </si>
  <si>
    <t xml:space="preserve">Tourism Real GDP
YoY Growth</t>
  </si>
  <si>
    <t xml:space="preserve">Construction Real GDP
YoY Growth</t>
  </si>
  <si>
    <t xml:space="preserve">Tourism Real GDP as
Multiple of Construction</t>
  </si>
  <si>
    <t xml:space="preserve">Tourism Real GDP
Index (2001=100)</t>
  </si>
  <si>
    <t xml:space="preserve">Construction Real GDP
Index (2001=100)</t>
  </si>
  <si>
    <t xml:space="preserve">2001–24 CAGR</t>
  </si>
  <si>
    <t xml:space="preserve">Note: GDP figures in current dollars; Real GDP is CPI-adjusted to 2024 dollars. "National" = all U.S. coastal states combined, Sector-level aggregation. Tourism &amp; Recreation's real GDP is roughly 13-18x larger than Marine Construction's every year (see "Multiple" column) — the two charts below show the raw dollar gap and, separately, each sector's own growth path indexed to its 2001 level.</t>
  </si>
  <si>
    <t xml:space="preserve">Supporting Detail: Employment &amp; Establishments</t>
  </si>
  <si>
    <t xml:space="preserve">Same two sectors, national totals, 2001–2024</t>
  </si>
  <si>
    <t xml:space="preserve">Tourism &amp; Recreation
Employment</t>
  </si>
  <si>
    <t xml:space="preserve">Tourism &amp; Recreation
Establishments</t>
  </si>
  <si>
    <t xml:space="preserve">Marine Construction
Employment</t>
  </si>
  <si>
    <t xml:space="preserve">Marine Construction
Establishments</t>
  </si>
  <si>
    <t xml:space="preserve">Data Dictionary — Open ENOW 2001–2024</t>
  </si>
  <si>
    <t xml:space="preserve">Column definitions for the source file Open_ENOW_2001_2024.csv</t>
  </si>
  <si>
    <t xml:space="preserve">Column</t>
  </si>
  <si>
    <t xml:space="preserve">Description</t>
  </si>
  <si>
    <t xml:space="preserve">GeoId</t>
  </si>
  <si>
    <t xml:space="preserve">Numeric geography code (FIPS-based). 0 = national; state/region codes and county FIPS codes for finer levels.</t>
  </si>
  <si>
    <t xml:space="preserve">geoType</t>
  </si>
  <si>
    <t xml:space="preserve">Level of geography for the row: National, Region, or State (county-level rows use a different aggregation and are not included in this extract).</t>
  </si>
  <si>
    <t xml:space="preserve">geoName</t>
  </si>
  <si>
    <t xml:space="preserve">Name of the geography, e.g. “All Coastal States” (national), a region name, or a state name.</t>
  </si>
  <si>
    <t xml:space="preserve">aggregation</t>
  </si>
  <si>
    <t xml:space="preserve">Whether the row reports at the Sector level (6 broad sectors) or Industry level (23 detailed industries).</t>
  </si>
  <si>
    <t xml:space="preserve">stateName / state</t>
  </si>
  <si>
    <t xml:space="preserve">Full state name and 2-letter postal abbreviation. Blank for National and Region rows.</t>
  </si>
  <si>
    <t xml:space="preserve">year</t>
  </si>
  <si>
    <t xml:space="preserve">Calendar year of the estimate, 2001–2024.</t>
  </si>
  <si>
    <t xml:space="preserve">enowSector</t>
  </si>
  <si>
    <t xml:space="preserve">One of 6 marine sectors: Living Resources, Marine Construction, Marine Transportation, Offshore Mineral Resources, Ship and Boat Building, Tourism and Recreation.</t>
  </si>
  <si>
    <t xml:space="preserve">enowIndustry</t>
  </si>
  <si>
    <t xml:space="preserve">One of 23 detailed industries within a sector (populated only on Industry-aggregation rows; blank on Sector rows).</t>
  </si>
  <si>
    <t xml:space="preserve">establishments</t>
  </si>
  <si>
    <t xml:space="preserve">Number of business establishments in that sector/industry, geography, and year.</t>
  </si>
  <si>
    <t xml:space="preserve">employment</t>
  </si>
  <si>
    <t xml:space="preserve">Number of jobs (annual average).</t>
  </si>
  <si>
    <t xml:space="preserve">wages</t>
  </si>
  <si>
    <t xml:space="preserve">Total wages paid, current (nominal) dollars.</t>
  </si>
  <si>
    <t xml:space="preserve">real_wages</t>
  </si>
  <si>
    <t xml:space="preserve">Total wages paid, adjusted for inflation to the cpi_ref_year dollar value.</t>
  </si>
  <si>
    <t xml:space="preserve">gdp</t>
  </si>
  <si>
    <t xml:space="preserve">Gross domestic product contribution, current (nominal) dollars.</t>
  </si>
  <si>
    <t xml:space="preserve">rgdp</t>
  </si>
  <si>
    <t xml:space="preserve">Real (inflation-adjusted) GDP contribution, in cpi_ref_year dollars.</t>
  </si>
  <si>
    <t xml:space="preserve">cpi_ref_year</t>
  </si>
  <si>
    <t xml:space="preserve">The dollar-value reference year used for the real_wages and rgdp inflation adjustment (2024 throughout this file).</t>
  </si>
  <si>
    <t xml:space="preserve">Source: NOAA Office for Coastal Management — Open Economics: National Ocean Watch (Open ENOW), built from BLS QCEW (establishments/employment/wages), BEA GDP-by-state (GDP), and U.S. Census ZIP Code Business Patterns (tourism zip-code share). www.coast.noaa.gov/digitalcoast/data/enow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</si>
</sst>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$#,##0,,\M"/>
    <numFmt numFmtId="167" formatCode="0.0%;\(0.0%\);\-"/>
    <numFmt numFmtId="168" formatCode="0.0\x"/>
    <numFmt numFmtId="169" formatCode="0.0"/>
    <numFmt numFmtId="170" formatCode="0.0%"/>
    <numFmt numFmtId="171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Real GDP (2024$): Tourism &amp; Recreation vs. Marine Construction, 2001–2024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'GDP Comparison'!C5</c:f>
              <c:strCache>
                <c:ptCount val="1"/>
                <c:pt idx="0">
                  <c:v>Tourism &amp; Recreation
Real GDP (2024$)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Comparison'!$A$6:$A$29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'GDP Comparison'!$C$6:$C$29</c:f>
              <c:numCache>
                <c:formatCode>\$#,##0,,\M</c:formatCode>
                <c:ptCount val="24"/>
                <c:pt idx="0">
                  <c:v>98299000000</c:v>
                </c:pt>
                <c:pt idx="1">
                  <c:v>99696000000</c:v>
                </c:pt>
                <c:pt idx="2">
                  <c:v>104011000000</c:v>
                </c:pt>
                <c:pt idx="3">
                  <c:v>117702000000</c:v>
                </c:pt>
                <c:pt idx="4">
                  <c:v>116548000000</c:v>
                </c:pt>
                <c:pt idx="5">
                  <c:v>119616000000</c:v>
                </c:pt>
                <c:pt idx="6">
                  <c:v>119274000000</c:v>
                </c:pt>
                <c:pt idx="7">
                  <c:v>116154000000</c:v>
                </c:pt>
                <c:pt idx="8">
                  <c:v>107217000000</c:v>
                </c:pt>
                <c:pt idx="9">
                  <c:v>112931000000</c:v>
                </c:pt>
                <c:pt idx="10">
                  <c:v>118733000000</c:v>
                </c:pt>
                <c:pt idx="11">
                  <c:v>118770000000</c:v>
                </c:pt>
                <c:pt idx="12">
                  <c:v>123092000000</c:v>
                </c:pt>
                <c:pt idx="13">
                  <c:v>125879000000</c:v>
                </c:pt>
                <c:pt idx="14">
                  <c:v>132873000000</c:v>
                </c:pt>
                <c:pt idx="15">
                  <c:v>136030000000</c:v>
                </c:pt>
                <c:pt idx="16">
                  <c:v>142704000000</c:v>
                </c:pt>
                <c:pt idx="17">
                  <c:v>144471000000</c:v>
                </c:pt>
                <c:pt idx="18">
                  <c:v>147111000000</c:v>
                </c:pt>
                <c:pt idx="19">
                  <c:v>101189000000</c:v>
                </c:pt>
                <c:pt idx="20">
                  <c:v>126387000000</c:v>
                </c:pt>
                <c:pt idx="21">
                  <c:v>141337000000</c:v>
                </c:pt>
                <c:pt idx="22">
                  <c:v>145279000000</c:v>
                </c:pt>
                <c:pt idx="23">
                  <c:v>142577000000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'GDP Comparison'!E5</c:f>
              <c:strCache>
                <c:ptCount val="1"/>
                <c:pt idx="0">
                  <c:v>Marine Construction
Real GDP (2024$)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Comparison'!$A$6:$A$29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'GDP Comparison'!$E$6:$E$29</c:f>
              <c:numCache>
                <c:formatCode>\$#,##0,,\M</c:formatCode>
                <c:ptCount val="24"/>
                <c:pt idx="0">
                  <c:v>7404000000</c:v>
                </c:pt>
                <c:pt idx="1">
                  <c:v>7180000000</c:v>
                </c:pt>
                <c:pt idx="2">
                  <c:v>6708000000</c:v>
                </c:pt>
                <c:pt idx="3">
                  <c:v>8382000000</c:v>
                </c:pt>
                <c:pt idx="4">
                  <c:v>8163000000</c:v>
                </c:pt>
                <c:pt idx="5">
                  <c:v>8012000000</c:v>
                </c:pt>
                <c:pt idx="6">
                  <c:v>8165000000</c:v>
                </c:pt>
                <c:pt idx="7">
                  <c:v>7978000000</c:v>
                </c:pt>
                <c:pt idx="8">
                  <c:v>7667000000</c:v>
                </c:pt>
                <c:pt idx="9">
                  <c:v>7786000000</c:v>
                </c:pt>
                <c:pt idx="10">
                  <c:v>7365000000</c:v>
                </c:pt>
                <c:pt idx="11">
                  <c:v>7473000000</c:v>
                </c:pt>
                <c:pt idx="12">
                  <c:v>7616000000</c:v>
                </c:pt>
                <c:pt idx="13">
                  <c:v>7562000000</c:v>
                </c:pt>
                <c:pt idx="14">
                  <c:v>7798000000</c:v>
                </c:pt>
                <c:pt idx="15">
                  <c:v>7824000000</c:v>
                </c:pt>
                <c:pt idx="16">
                  <c:v>8251000000</c:v>
                </c:pt>
                <c:pt idx="17">
                  <c:v>8711000000</c:v>
                </c:pt>
                <c:pt idx="18">
                  <c:v>9261000000</c:v>
                </c:pt>
                <c:pt idx="19">
                  <c:v>9536000000</c:v>
                </c:pt>
                <c:pt idx="20">
                  <c:v>9543000000</c:v>
                </c:pt>
                <c:pt idx="21">
                  <c:v>8785000000</c:v>
                </c:pt>
                <c:pt idx="22">
                  <c:v>8359000000</c:v>
                </c:pt>
                <c:pt idx="23">
                  <c:v>7776000000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163743"/>
        <c:axId val="12981276"/>
      </c:lineChart>
      <c:catAx>
        <c:axId val="28163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81276"/>
        <c:crosses val="autoZero"/>
        <c:auto val="1"/>
        <c:lblAlgn val="ctr"/>
        <c:lblOffset val="100"/>
        <c:noMultiLvlLbl val="0"/>
      </c:catAx>
      <c:valAx>
        <c:axId val="12981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Real GDP (2024 dollars)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63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Real GDP Growth Indexed to 2001 = 100 (comparable growth rates)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'GDP Comparison'!I5</c:f>
              <c:strCache>
                <c:ptCount val="1"/>
                <c:pt idx="0">
                  <c:v>Tourism Real GDP
Index (2001=100)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Comparison'!$A$6:$A$29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'GDP Comparison'!$I$6:$I$29</c:f>
              <c:numCache>
                <c:formatCode>0.0</c:formatCode>
                <c:ptCount val="24"/>
                <c:pt idx="0">
                  <c:v>100</c:v>
                </c:pt>
                <c:pt idx="1">
                  <c:v>101.421174172677</c:v>
                </c:pt>
                <c:pt idx="2">
                  <c:v>105.81084242973</c:v>
                </c:pt>
                <c:pt idx="3">
                  <c:v>119.738756243705</c:v>
                </c:pt>
                <c:pt idx="4">
                  <c:v>118.564787027335</c:v>
                </c:pt>
                <c:pt idx="5">
                  <c:v>121.685876763751</c:v>
                </c:pt>
                <c:pt idx="6">
                  <c:v>121.337958677097</c:v>
                </c:pt>
                <c:pt idx="7">
                  <c:v>118.16396911464</c:v>
                </c:pt>
                <c:pt idx="8">
                  <c:v>109.072320166024</c:v>
                </c:pt>
                <c:pt idx="9">
                  <c:v>114.885197204448</c:v>
                </c:pt>
                <c:pt idx="10">
                  <c:v>120.787597025402</c:v>
                </c:pt>
                <c:pt idx="11">
                  <c:v>120.825237286239</c:v>
                </c:pt>
                <c:pt idx="12">
                  <c:v>125.22202667372</c:v>
                </c:pt>
                <c:pt idx="13">
                  <c:v>128.057253888646</c:v>
                </c:pt>
                <c:pt idx="14">
                  <c:v>135.172280491155</c:v>
                </c:pt>
                <c:pt idx="15">
                  <c:v>138.383910314449</c:v>
                </c:pt>
                <c:pt idx="16">
                  <c:v>145.173399525936</c:v>
                </c:pt>
                <c:pt idx="17">
                  <c:v>146.970976306982</c:v>
                </c:pt>
                <c:pt idx="18">
                  <c:v>149.656659782907</c:v>
                </c:pt>
                <c:pt idx="19">
                  <c:v>102.940009562661</c:v>
                </c:pt>
                <c:pt idx="20">
                  <c:v>128.574044496892</c:v>
                </c:pt>
                <c:pt idx="21">
                  <c:v>143.782744483667</c:v>
                </c:pt>
                <c:pt idx="22">
                  <c:v>147.79295821931</c:v>
                </c:pt>
                <c:pt idx="23">
                  <c:v>145.044201873875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'GDP Comparison'!J5</c:f>
              <c:strCache>
                <c:ptCount val="1"/>
                <c:pt idx="0">
                  <c:v>Construction Real GDP
Index (2001=100)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'GDP Comparison'!$A$6:$A$29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'GDP Comparison'!$J$6:$J$29</c:f>
              <c:numCache>
                <c:formatCode>0.0</c:formatCode>
                <c:ptCount val="24"/>
                <c:pt idx="0">
                  <c:v>100</c:v>
                </c:pt>
                <c:pt idx="1">
                  <c:v>96.9746083198271</c:v>
                </c:pt>
                <c:pt idx="2">
                  <c:v>90.5996758508914</c:v>
                </c:pt>
                <c:pt idx="3">
                  <c:v>113.209076175041</c:v>
                </c:pt>
                <c:pt idx="4">
                  <c:v>110.251215559157</c:v>
                </c:pt>
                <c:pt idx="5">
                  <c:v>108.211777417612</c:v>
                </c:pt>
                <c:pt idx="6">
                  <c:v>110.278227984873</c:v>
                </c:pt>
                <c:pt idx="7">
                  <c:v>107.752566180443</c:v>
                </c:pt>
                <c:pt idx="8">
                  <c:v>103.552133981632</c:v>
                </c:pt>
                <c:pt idx="9">
                  <c:v>105.159373311723</c:v>
                </c:pt>
                <c:pt idx="10">
                  <c:v>99.4732576985413</c:v>
                </c:pt>
                <c:pt idx="11">
                  <c:v>100.931928687196</c:v>
                </c:pt>
                <c:pt idx="12">
                  <c:v>102.863317125878</c:v>
                </c:pt>
                <c:pt idx="13">
                  <c:v>102.133981631551</c:v>
                </c:pt>
                <c:pt idx="14">
                  <c:v>105.321447866018</c:v>
                </c:pt>
                <c:pt idx="15">
                  <c:v>105.672609400324</c:v>
                </c:pt>
                <c:pt idx="16">
                  <c:v>111.439762290654</c:v>
                </c:pt>
                <c:pt idx="17">
                  <c:v>117.652620205294</c:v>
                </c:pt>
                <c:pt idx="18">
                  <c:v>125.081037277147</c:v>
                </c:pt>
                <c:pt idx="19">
                  <c:v>128.795245813074</c:v>
                </c:pt>
                <c:pt idx="20">
                  <c:v>128.889789303079</c:v>
                </c:pt>
                <c:pt idx="21">
                  <c:v>118.65207995678</c:v>
                </c:pt>
                <c:pt idx="22">
                  <c:v>112.898433279308</c:v>
                </c:pt>
                <c:pt idx="23">
                  <c:v>105.024311183144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656556"/>
        <c:axId val="11191384"/>
      </c:lineChart>
      <c:catAx>
        <c:axId val="866565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91384"/>
        <c:crosses val="autoZero"/>
        <c:auto val="1"/>
        <c:lblAlgn val="ctr"/>
        <c:lblOffset val="100"/>
        <c:noMultiLvlLbl val="0"/>
      </c:catAx>
      <c:valAx>
        <c:axId val="111913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(2001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565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130680</xdr:rowOff>
    </xdr:from>
    <xdr:to>
      <xdr:col>8</xdr:col>
      <xdr:colOff>745200</xdr:colOff>
      <xdr:row>52</xdr:row>
      <xdr:rowOff>110880</xdr:rowOff>
    </xdr:to>
    <xdr:graphicFrame>
      <xdr:nvGraphicFramePr>
        <xdr:cNvPr id="0" name="Chart 1"/>
        <xdr:cNvGraphicFramePr/>
      </xdr:nvGraphicFramePr>
      <xdr:xfrm>
        <a:off x="0" y="68770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54</xdr:row>
      <xdr:rowOff>130680</xdr:rowOff>
    </xdr:from>
    <xdr:to>
      <xdr:col>8</xdr:col>
      <xdr:colOff>745200</xdr:colOff>
      <xdr:row>73</xdr:row>
      <xdr:rowOff>110880</xdr:rowOff>
    </xdr:to>
    <xdr:graphicFrame>
      <xdr:nvGraphicFramePr>
        <xdr:cNvPr id="1" name="Chart 2"/>
        <xdr:cNvGraphicFramePr/>
      </xdr:nvGraphicFramePr>
      <xdr:xfrm>
        <a:off x="0" y="108774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n">
        <v>2001</v>
      </c>
      <c r="B6" s="6" t="n">
        <v>61280000000</v>
      </c>
      <c r="C6" s="6" t="n">
        <v>98299000000</v>
      </c>
      <c r="D6" s="6" t="n">
        <v>3960000000</v>
      </c>
      <c r="E6" s="6" t="n">
        <v>7404000000</v>
      </c>
      <c r="F6" s="7"/>
      <c r="G6" s="7"/>
      <c r="H6" s="8" t="n">
        <f aca="false">IFERROR(C6/E6,"")</f>
        <v>13.2764721772015</v>
      </c>
      <c r="I6" s="9" t="n">
        <f aca="false">IFERROR(C6/C$6*100,"")</f>
        <v>100</v>
      </c>
      <c r="J6" s="9" t="n">
        <f aca="false">IFERROR(E6/E$6*100,"")</f>
        <v>100</v>
      </c>
    </row>
    <row r="7" customFormat="false" ht="15" hidden="false" customHeight="false" outlineLevel="0" collapsed="false">
      <c r="A7" s="10" t="n">
        <v>2002</v>
      </c>
      <c r="B7" s="11" t="n">
        <v>64113000000</v>
      </c>
      <c r="C7" s="11" t="n">
        <v>99696000000</v>
      </c>
      <c r="D7" s="11" t="n">
        <v>4033000000</v>
      </c>
      <c r="E7" s="11" t="n">
        <v>7180000000</v>
      </c>
      <c r="F7" s="12" t="n">
        <f aca="false">IFERROR((C7-C6)/C6,"")</f>
        <v>0.0142117417267724</v>
      </c>
      <c r="G7" s="12" t="n">
        <f aca="false">IFERROR((E7-E6)/E6,"")</f>
        <v>-0.0302539168017288</v>
      </c>
      <c r="H7" s="13" t="n">
        <f aca="false">IFERROR(C7/E7,"")</f>
        <v>13.8852367688022</v>
      </c>
      <c r="I7" s="14" t="n">
        <f aca="false">IFERROR(C7/C$6*100,"")</f>
        <v>101.421174172677</v>
      </c>
      <c r="J7" s="14" t="n">
        <f aca="false">IFERROR(E7/E$6*100,"")</f>
        <v>96.9746083198271</v>
      </c>
    </row>
    <row r="8" customFormat="false" ht="15" hidden="false" customHeight="false" outlineLevel="0" collapsed="false">
      <c r="A8" s="5" t="n">
        <v>2003</v>
      </c>
      <c r="B8" s="6" t="n">
        <v>67520000000</v>
      </c>
      <c r="C8" s="6" t="n">
        <v>104011000000</v>
      </c>
      <c r="D8" s="6" t="n">
        <v>3929000000</v>
      </c>
      <c r="E8" s="6" t="n">
        <v>6708000000</v>
      </c>
      <c r="F8" s="7" t="n">
        <f aca="false">IFERROR((C8-C7)/C7,"")</f>
        <v>0.0432815759910127</v>
      </c>
      <c r="G8" s="7" t="n">
        <f aca="false">IFERROR((E8-E7)/E7,"")</f>
        <v>-0.0657381615598886</v>
      </c>
      <c r="H8" s="8" t="n">
        <f aca="false">IFERROR(C8/E8,"")</f>
        <v>15.5055158020274</v>
      </c>
      <c r="I8" s="9" t="n">
        <f aca="false">IFERROR(C8/C$6*100,"")</f>
        <v>105.81084242973</v>
      </c>
      <c r="J8" s="9" t="n">
        <f aca="false">IFERROR(E8/E$6*100,"")</f>
        <v>90.5996758508914</v>
      </c>
    </row>
    <row r="9" customFormat="false" ht="15" hidden="false" customHeight="false" outlineLevel="0" collapsed="false">
      <c r="A9" s="10" t="n">
        <v>2004</v>
      </c>
      <c r="B9" s="11" t="n">
        <v>78240000000</v>
      </c>
      <c r="C9" s="11" t="n">
        <v>117702000000</v>
      </c>
      <c r="D9" s="11" t="n">
        <v>5267000000</v>
      </c>
      <c r="E9" s="11" t="n">
        <v>8382000000</v>
      </c>
      <c r="F9" s="12" t="n">
        <f aca="false">IFERROR((C9-C8)/C8,"")</f>
        <v>0.131630308332773</v>
      </c>
      <c r="G9" s="12" t="n">
        <f aca="false">IFERROR((E9-E8)/E8,"")</f>
        <v>0.249552772808587</v>
      </c>
      <c r="H9" s="13" t="n">
        <f aca="false">IFERROR(C9/E9,"")</f>
        <v>14.042233357194</v>
      </c>
      <c r="I9" s="14" t="n">
        <f aca="false">IFERROR(C9/C$6*100,"")</f>
        <v>119.738756243705</v>
      </c>
      <c r="J9" s="14" t="n">
        <f aca="false">IFERROR(E9/E$6*100,"")</f>
        <v>113.209076175041</v>
      </c>
    </row>
    <row r="10" customFormat="false" ht="15" hidden="false" customHeight="false" outlineLevel="0" collapsed="false">
      <c r="A10" s="5" t="n">
        <v>2005</v>
      </c>
      <c r="B10" s="6" t="n">
        <v>80684000000</v>
      </c>
      <c r="C10" s="6" t="n">
        <v>116548000000</v>
      </c>
      <c r="D10" s="6" t="n">
        <v>5694000000</v>
      </c>
      <c r="E10" s="6" t="n">
        <v>8163000000</v>
      </c>
      <c r="F10" s="7" t="n">
        <f aca="false">IFERROR((C10-C9)/C9,"")</f>
        <v>-0.00980442133523645</v>
      </c>
      <c r="G10" s="7" t="n">
        <f aca="false">IFERROR((E10-E9)/E9,"")</f>
        <v>-0.0261274158911954</v>
      </c>
      <c r="H10" s="8" t="n">
        <f aca="false">IFERROR(C10/E10,"")</f>
        <v>14.2775940218057</v>
      </c>
      <c r="I10" s="9" t="n">
        <f aca="false">IFERROR(C10/C$6*100,"")</f>
        <v>118.564787027335</v>
      </c>
      <c r="J10" s="9" t="n">
        <f aca="false">IFERROR(E10/E$6*100,"")</f>
        <v>110.251215559157</v>
      </c>
    </row>
    <row r="11" customFormat="false" ht="15" hidden="false" customHeight="false" outlineLevel="0" collapsed="false">
      <c r="A11" s="10" t="n">
        <v>2006</v>
      </c>
      <c r="B11" s="11" t="n">
        <v>85645000000</v>
      </c>
      <c r="C11" s="11" t="n">
        <v>119616000000</v>
      </c>
      <c r="D11" s="11" t="n">
        <v>6117000000</v>
      </c>
      <c r="E11" s="11" t="n">
        <v>8012000000</v>
      </c>
      <c r="F11" s="12" t="n">
        <f aca="false">IFERROR((C11-C10)/C10,"")</f>
        <v>0.0263239180423516</v>
      </c>
      <c r="G11" s="12" t="n">
        <f aca="false">IFERROR((E11-E10)/E10,"")</f>
        <v>-0.0184981011882886</v>
      </c>
      <c r="H11" s="13" t="n">
        <f aca="false">IFERROR(C11/E11,"")</f>
        <v>14.9296055916126</v>
      </c>
      <c r="I11" s="14" t="n">
        <f aca="false">IFERROR(C11/C$6*100,"")</f>
        <v>121.685876763751</v>
      </c>
      <c r="J11" s="14" t="n">
        <f aca="false">IFERROR(E11/E$6*100,"")</f>
        <v>108.211777417612</v>
      </c>
    </row>
    <row r="12" customFormat="false" ht="15" hidden="false" customHeight="false" outlineLevel="0" collapsed="false">
      <c r="A12" s="5" t="n">
        <v>2007</v>
      </c>
      <c r="B12" s="6" t="n">
        <v>89394000000</v>
      </c>
      <c r="C12" s="6" t="n">
        <v>119274000000</v>
      </c>
      <c r="D12" s="6" t="n">
        <v>6580000000</v>
      </c>
      <c r="E12" s="6" t="n">
        <v>8165000000</v>
      </c>
      <c r="F12" s="7" t="n">
        <f aca="false">IFERROR((C12-C11)/C11,"")</f>
        <v>-0.0028591492776886</v>
      </c>
      <c r="G12" s="7" t="n">
        <f aca="false">IFERROR((E12-E11)/E11,"")</f>
        <v>0.0190963554667998</v>
      </c>
      <c r="H12" s="8" t="n">
        <f aca="false">IFERROR(C12/E12,"")</f>
        <v>14.6079608083282</v>
      </c>
      <c r="I12" s="9" t="n">
        <f aca="false">IFERROR(C12/C$6*100,"")</f>
        <v>121.337958677097</v>
      </c>
      <c r="J12" s="9" t="n">
        <f aca="false">IFERROR(E12/E$6*100,"")</f>
        <v>110.278227984873</v>
      </c>
    </row>
    <row r="13" customFormat="false" ht="15" hidden="false" customHeight="false" outlineLevel="0" collapsed="false">
      <c r="A13" s="10" t="n">
        <v>2008</v>
      </c>
      <c r="B13" s="11" t="n">
        <v>90622000000</v>
      </c>
      <c r="C13" s="11" t="n">
        <v>116154000000</v>
      </c>
      <c r="D13" s="11" t="n">
        <v>6462000000</v>
      </c>
      <c r="E13" s="11" t="n">
        <v>7978000000</v>
      </c>
      <c r="F13" s="12" t="n">
        <f aca="false">IFERROR((C13-C12)/C12,"")</f>
        <v>-0.0261582574576186</v>
      </c>
      <c r="G13" s="12" t="n">
        <f aca="false">IFERROR((E13-E12)/E12,"")</f>
        <v>-0.022902633190447</v>
      </c>
      <c r="H13" s="13" t="n">
        <f aca="false">IFERROR(C13/E13,"")</f>
        <v>14.5592880421158</v>
      </c>
      <c r="I13" s="14" t="n">
        <f aca="false">IFERROR(C13/C$6*100,"")</f>
        <v>118.16396911464</v>
      </c>
      <c r="J13" s="14" t="n">
        <f aca="false">IFERROR(E13/E$6*100,"")</f>
        <v>107.752566180443</v>
      </c>
    </row>
    <row r="14" customFormat="false" ht="15" hidden="false" customHeight="false" outlineLevel="0" collapsed="false">
      <c r="A14" s="5" t="n">
        <v>2009</v>
      </c>
      <c r="B14" s="6" t="n">
        <v>87380000000</v>
      </c>
      <c r="C14" s="6" t="n">
        <v>107217000000</v>
      </c>
      <c r="D14" s="6" t="n">
        <v>6313000000</v>
      </c>
      <c r="E14" s="6" t="n">
        <v>7667000000</v>
      </c>
      <c r="F14" s="7" t="n">
        <f aca="false">IFERROR((C14-C13)/C13,"")</f>
        <v>-0.0769409576940958</v>
      </c>
      <c r="G14" s="7" t="n">
        <f aca="false">IFERROR((E14-E13)/E13,"")</f>
        <v>-0.0389822010528955</v>
      </c>
      <c r="H14" s="8" t="n">
        <f aca="false">IFERROR(C14/E14,"")</f>
        <v>13.9842180774749</v>
      </c>
      <c r="I14" s="9" t="n">
        <f aca="false">IFERROR(C14/C$6*100,"")</f>
        <v>109.072320166024</v>
      </c>
      <c r="J14" s="9" t="n">
        <f aca="false">IFERROR(E14/E$6*100,"")</f>
        <v>103.552133981632</v>
      </c>
    </row>
    <row r="15" customFormat="false" ht="15" hidden="false" customHeight="false" outlineLevel="0" collapsed="false">
      <c r="A15" s="10" t="n">
        <v>2010</v>
      </c>
      <c r="B15" s="11" t="n">
        <v>91928000000</v>
      </c>
      <c r="C15" s="11" t="n">
        <v>112931000000</v>
      </c>
      <c r="D15" s="11" t="n">
        <v>6233000000</v>
      </c>
      <c r="E15" s="11" t="n">
        <v>7786000000</v>
      </c>
      <c r="F15" s="12" t="n">
        <f aca="false">IFERROR((C15-C14)/C14,"")</f>
        <v>0.0532937873658095</v>
      </c>
      <c r="G15" s="12" t="n">
        <f aca="false">IFERROR((E15-E14)/E14,"")</f>
        <v>0.0155210643015521</v>
      </c>
      <c r="H15" s="13" t="n">
        <f aca="false">IFERROR(C15/E15,"")</f>
        <v>14.5043668122271</v>
      </c>
      <c r="I15" s="14" t="n">
        <f aca="false">IFERROR(C15/C$6*100,"")</f>
        <v>114.885197204448</v>
      </c>
      <c r="J15" s="14" t="n">
        <f aca="false">IFERROR(E15/E$6*100,"")</f>
        <v>105.159373311723</v>
      </c>
    </row>
    <row r="16" customFormat="false" ht="15" hidden="false" customHeight="false" outlineLevel="0" collapsed="false">
      <c r="A16" s="5" t="n">
        <v>2011</v>
      </c>
      <c r="B16" s="6" t="n">
        <v>97490000000</v>
      </c>
      <c r="C16" s="6" t="n">
        <v>118733000000</v>
      </c>
      <c r="D16" s="6" t="n">
        <v>5965000000</v>
      </c>
      <c r="E16" s="6" t="n">
        <v>7365000000</v>
      </c>
      <c r="F16" s="7" t="n">
        <f aca="false">IFERROR((C16-C15)/C15,"")</f>
        <v>0.0513765042371005</v>
      </c>
      <c r="G16" s="7" t="n">
        <f aca="false">IFERROR((E16-E15)/E15,"")</f>
        <v>-0.054071410223478</v>
      </c>
      <c r="H16" s="8" t="n">
        <f aca="false">IFERROR(C16/E16,"")</f>
        <v>16.1212491513917</v>
      </c>
      <c r="I16" s="9" t="n">
        <f aca="false">IFERROR(C16/C$6*100,"")</f>
        <v>120.787597025402</v>
      </c>
      <c r="J16" s="9" t="n">
        <f aca="false">IFERROR(E16/E$6*100,"")</f>
        <v>99.4732576985413</v>
      </c>
    </row>
    <row r="17" customFormat="false" ht="15" hidden="false" customHeight="false" outlineLevel="0" collapsed="false">
      <c r="A17" s="10" t="n">
        <v>2012</v>
      </c>
      <c r="B17" s="11" t="n">
        <v>101805000000</v>
      </c>
      <c r="C17" s="11" t="n">
        <v>118770000000</v>
      </c>
      <c r="D17" s="11" t="n">
        <v>6188000000</v>
      </c>
      <c r="E17" s="11" t="n">
        <v>7473000000</v>
      </c>
      <c r="F17" s="12" t="n">
        <f aca="false">IFERROR((C17-C16)/C16,"")</f>
        <v>0.000311623558741041</v>
      </c>
      <c r="G17" s="12" t="n">
        <f aca="false">IFERROR((E17-E16)/E16,"")</f>
        <v>0.0146639511201629</v>
      </c>
      <c r="H17" s="13" t="n">
        <f aca="false">IFERROR(C17/E17,"")</f>
        <v>15.8932155760739</v>
      </c>
      <c r="I17" s="14" t="n">
        <f aca="false">IFERROR(C17/C$6*100,"")</f>
        <v>120.825237286239</v>
      </c>
      <c r="J17" s="14" t="n">
        <f aca="false">IFERROR(E17/E$6*100,"")</f>
        <v>100.931928687196</v>
      </c>
    </row>
    <row r="18" customFormat="false" ht="15" hidden="false" customHeight="false" outlineLevel="0" collapsed="false">
      <c r="A18" s="5" t="n">
        <v>2013</v>
      </c>
      <c r="B18" s="6" t="n">
        <v>108047000000</v>
      </c>
      <c r="C18" s="6" t="n">
        <v>123092000000</v>
      </c>
      <c r="D18" s="6" t="n">
        <v>6493000000</v>
      </c>
      <c r="E18" s="6" t="n">
        <v>7616000000</v>
      </c>
      <c r="F18" s="7" t="n">
        <f aca="false">IFERROR((C18-C17)/C17,"")</f>
        <v>0.0363896606887261</v>
      </c>
      <c r="G18" s="7" t="n">
        <f aca="false">IFERROR((E18-E17)/E17,"")</f>
        <v>0.0191355546634551</v>
      </c>
      <c r="H18" s="8" t="n">
        <f aca="false">IFERROR(C18/E18,"")</f>
        <v>16.1622899159664</v>
      </c>
      <c r="I18" s="9" t="n">
        <f aca="false">IFERROR(C18/C$6*100,"")</f>
        <v>125.22202667372</v>
      </c>
      <c r="J18" s="9" t="n">
        <f aca="false">IFERROR(E18/E$6*100,"")</f>
        <v>102.863317125878</v>
      </c>
    </row>
    <row r="19" customFormat="false" ht="15" hidden="false" customHeight="false" outlineLevel="0" collapsed="false">
      <c r="A19" s="10" t="n">
        <v>2014</v>
      </c>
      <c r="B19" s="11" t="n">
        <v>112934000000</v>
      </c>
      <c r="C19" s="11" t="n">
        <v>125879000000</v>
      </c>
      <c r="D19" s="11" t="n">
        <v>6815000000</v>
      </c>
      <c r="E19" s="11" t="n">
        <v>7562000000</v>
      </c>
      <c r="F19" s="12" t="n">
        <f aca="false">IFERROR((C19-C18)/C18,"")</f>
        <v>0.022641601403828</v>
      </c>
      <c r="G19" s="12" t="n">
        <f aca="false">IFERROR((E19-E18)/E18,"")</f>
        <v>-0.00709033613445378</v>
      </c>
      <c r="H19" s="13" t="n">
        <f aca="false">IFERROR(C19/E19,"")</f>
        <v>16.6462576038085</v>
      </c>
      <c r="I19" s="14" t="n">
        <f aca="false">IFERROR(C19/C$6*100,"")</f>
        <v>128.057253888646</v>
      </c>
      <c r="J19" s="14" t="n">
        <f aca="false">IFERROR(E19/E$6*100,"")</f>
        <v>102.133981631551</v>
      </c>
    </row>
    <row r="20" customFormat="false" ht="15" hidden="false" customHeight="false" outlineLevel="0" collapsed="false">
      <c r="A20" s="5" t="n">
        <v>2015</v>
      </c>
      <c r="B20" s="6" t="n">
        <v>124896000000</v>
      </c>
      <c r="C20" s="6" t="n">
        <v>132873000000</v>
      </c>
      <c r="D20" s="6" t="n">
        <v>7297000000</v>
      </c>
      <c r="E20" s="6" t="n">
        <v>7798000000</v>
      </c>
      <c r="F20" s="7" t="n">
        <f aca="false">IFERROR((C20-C19)/C19,"")</f>
        <v>0.0555612929877104</v>
      </c>
      <c r="G20" s="7" t="n">
        <f aca="false">IFERROR((E20-E19)/E19,"")</f>
        <v>0.031208674953716</v>
      </c>
      <c r="H20" s="8" t="n">
        <f aca="false">IFERROR(C20/E20,"")</f>
        <v>17.0393690689921</v>
      </c>
      <c r="I20" s="9" t="n">
        <f aca="false">IFERROR(C20/C$6*100,"")</f>
        <v>135.172280491155</v>
      </c>
      <c r="J20" s="9" t="n">
        <f aca="false">IFERROR(E20/E$6*100,"")</f>
        <v>105.321447866018</v>
      </c>
    </row>
    <row r="21" customFormat="false" ht="15" hidden="false" customHeight="false" outlineLevel="0" collapsed="false">
      <c r="A21" s="10" t="n">
        <v>2016</v>
      </c>
      <c r="B21" s="11" t="n">
        <v>132769000000</v>
      </c>
      <c r="C21" s="11" t="n">
        <v>136030000000</v>
      </c>
      <c r="D21" s="11" t="n">
        <v>7556000000</v>
      </c>
      <c r="E21" s="11" t="n">
        <v>7824000000</v>
      </c>
      <c r="F21" s="12" t="n">
        <f aca="false">IFERROR((C21-C20)/C20,"")</f>
        <v>0.0237595297765536</v>
      </c>
      <c r="G21" s="12" t="n">
        <f aca="false">IFERROR((E21-E20)/E20,"")</f>
        <v>0.00333418825339831</v>
      </c>
      <c r="H21" s="13" t="n">
        <f aca="false">IFERROR(C21/E21,"")</f>
        <v>17.3862474437628</v>
      </c>
      <c r="I21" s="14" t="n">
        <f aca="false">IFERROR(C21/C$6*100,"")</f>
        <v>138.383910314449</v>
      </c>
      <c r="J21" s="14" t="n">
        <f aca="false">IFERROR(E21/E$6*100,"")</f>
        <v>105.672609400324</v>
      </c>
    </row>
    <row r="22" customFormat="false" ht="15" hidden="false" customHeight="false" outlineLevel="0" collapsed="false">
      <c r="A22" s="5" t="n">
        <v>2017</v>
      </c>
      <c r="B22" s="6" t="n">
        <v>142704000000</v>
      </c>
      <c r="C22" s="6" t="n">
        <v>142704000000</v>
      </c>
      <c r="D22" s="6" t="n">
        <v>8251000000</v>
      </c>
      <c r="E22" s="6" t="n">
        <v>8251000000</v>
      </c>
      <c r="F22" s="7" t="n">
        <f aca="false">IFERROR((C22-C21)/C21,"")</f>
        <v>0.0490627067558627</v>
      </c>
      <c r="G22" s="7" t="n">
        <f aca="false">IFERROR((E22-E21)/E21,"")</f>
        <v>0.0545756646216769</v>
      </c>
      <c r="H22" s="8" t="n">
        <f aca="false">IFERROR(C22/E22,"")</f>
        <v>17.2953581384075</v>
      </c>
      <c r="I22" s="9" t="n">
        <f aca="false">IFERROR(C22/C$6*100,"")</f>
        <v>145.173399525936</v>
      </c>
      <c r="J22" s="9" t="n">
        <f aca="false">IFERROR(E22/E$6*100,"")</f>
        <v>111.439762290654</v>
      </c>
    </row>
    <row r="23" customFormat="false" ht="15" hidden="false" customHeight="false" outlineLevel="0" collapsed="false">
      <c r="A23" s="10" t="n">
        <v>2018</v>
      </c>
      <c r="B23" s="11" t="n">
        <v>149610000000</v>
      </c>
      <c r="C23" s="11" t="n">
        <v>144471000000</v>
      </c>
      <c r="D23" s="11" t="n">
        <v>8967000000</v>
      </c>
      <c r="E23" s="11" t="n">
        <v>8711000000</v>
      </c>
      <c r="F23" s="12" t="n">
        <f aca="false">IFERROR((C23-C22)/C22,"")</f>
        <v>0.0123822737975109</v>
      </c>
      <c r="G23" s="12" t="n">
        <f aca="false">IFERROR((E23-E22)/E22,"")</f>
        <v>0.0557508180826566</v>
      </c>
      <c r="H23" s="13" t="n">
        <f aca="false">IFERROR(C23/E23,"")</f>
        <v>16.5848926644473</v>
      </c>
      <c r="I23" s="14" t="n">
        <f aca="false">IFERROR(C23/C$6*100,"")</f>
        <v>146.970976306982</v>
      </c>
      <c r="J23" s="14" t="n">
        <f aca="false">IFERROR(E23/E$6*100,"")</f>
        <v>117.652620205294</v>
      </c>
    </row>
    <row r="24" customFormat="false" ht="15" hidden="false" customHeight="false" outlineLevel="0" collapsed="false">
      <c r="A24" s="5" t="n">
        <v>2019</v>
      </c>
      <c r="B24" s="6" t="n">
        <v>157541000000</v>
      </c>
      <c r="C24" s="6" t="n">
        <v>147111000000</v>
      </c>
      <c r="D24" s="6" t="n">
        <v>10003000000</v>
      </c>
      <c r="E24" s="6" t="n">
        <v>9261000000</v>
      </c>
      <c r="F24" s="7" t="n">
        <f aca="false">IFERROR((C24-C23)/C23,"")</f>
        <v>0.0182735635525469</v>
      </c>
      <c r="G24" s="7" t="n">
        <f aca="false">IFERROR((E24-E23)/E23,"")</f>
        <v>0.0631385604408219</v>
      </c>
      <c r="H24" s="8" t="n">
        <f aca="false">IFERROR(C24/E24,"")</f>
        <v>15.8850016196955</v>
      </c>
      <c r="I24" s="9" t="n">
        <f aca="false">IFERROR(C24/C$6*100,"")</f>
        <v>149.656659782907</v>
      </c>
      <c r="J24" s="9" t="n">
        <f aca="false">IFERROR(E24/E$6*100,"")</f>
        <v>125.081037277147</v>
      </c>
    </row>
    <row r="25" customFormat="false" ht="15" hidden="false" customHeight="false" outlineLevel="0" collapsed="false">
      <c r="A25" s="10" t="n">
        <v>2020</v>
      </c>
      <c r="B25" s="11" t="n">
        <v>109666000000</v>
      </c>
      <c r="C25" s="11" t="n">
        <v>101189000000</v>
      </c>
      <c r="D25" s="11" t="n">
        <v>10587000000</v>
      </c>
      <c r="E25" s="11" t="n">
        <v>9536000000</v>
      </c>
      <c r="F25" s="12" t="n">
        <f aca="false">IFERROR((C25-C24)/C24,"")</f>
        <v>-0.312158846041425</v>
      </c>
      <c r="G25" s="12" t="n">
        <f aca="false">IFERROR((E25-E24)/E24,"")</f>
        <v>0.0296944174495195</v>
      </c>
      <c r="H25" s="13" t="n">
        <f aca="false">IFERROR(C25/E25,"")</f>
        <v>10.6112625838926</v>
      </c>
      <c r="I25" s="14" t="n">
        <f aca="false">IFERROR(C25/C$6*100,"")</f>
        <v>102.940009562661</v>
      </c>
      <c r="J25" s="14" t="n">
        <f aca="false">IFERROR(E25/E$6*100,"")</f>
        <v>128.795245813074</v>
      </c>
    </row>
    <row r="26" customFormat="false" ht="15" hidden="false" customHeight="false" outlineLevel="0" collapsed="false">
      <c r="A26" s="5" t="n">
        <v>2021</v>
      </c>
      <c r="B26" s="6" t="n">
        <v>145879000000</v>
      </c>
      <c r="C26" s="6" t="n">
        <v>126387000000</v>
      </c>
      <c r="D26" s="6" t="n">
        <v>10913000000</v>
      </c>
      <c r="E26" s="6" t="n">
        <v>9543000000</v>
      </c>
      <c r="F26" s="7" t="n">
        <f aca="false">IFERROR((C26-C25)/C25,"")</f>
        <v>0.249019162161895</v>
      </c>
      <c r="G26" s="7" t="n">
        <f aca="false">IFERROR((E26-E25)/E25,"")</f>
        <v>0.000734060402684564</v>
      </c>
      <c r="H26" s="8" t="n">
        <f aca="false">IFERROR(C26/E26,"")</f>
        <v>13.2439484438856</v>
      </c>
      <c r="I26" s="9" t="n">
        <f aca="false">IFERROR(C26/C$6*100,"")</f>
        <v>128.574044496892</v>
      </c>
      <c r="J26" s="9" t="n">
        <f aca="false">IFERROR(E26/E$6*100,"")</f>
        <v>128.889789303079</v>
      </c>
    </row>
    <row r="27" customFormat="false" ht="15" hidden="false" customHeight="false" outlineLevel="0" collapsed="false">
      <c r="A27" s="10" t="n">
        <v>2022</v>
      </c>
      <c r="B27" s="11" t="n">
        <v>178610000000</v>
      </c>
      <c r="C27" s="11" t="n">
        <v>141337000000</v>
      </c>
      <c r="D27" s="11" t="n">
        <v>11767000000</v>
      </c>
      <c r="E27" s="11" t="n">
        <v>8785000000</v>
      </c>
      <c r="F27" s="12" t="n">
        <f aca="false">IFERROR((C27-C26)/C26,"")</f>
        <v>0.118287482098634</v>
      </c>
      <c r="G27" s="12" t="n">
        <f aca="false">IFERROR((E27-E26)/E26,"")</f>
        <v>-0.0794299486534633</v>
      </c>
      <c r="H27" s="13" t="n">
        <f aca="false">IFERROR(C27/E27,"")</f>
        <v>16.0884462151394</v>
      </c>
      <c r="I27" s="14" t="n">
        <f aca="false">IFERROR(C27/C$6*100,"")</f>
        <v>143.782744483667</v>
      </c>
      <c r="J27" s="14" t="n">
        <f aca="false">IFERROR(E27/E$6*100,"")</f>
        <v>118.65207995678</v>
      </c>
    </row>
    <row r="28" customFormat="false" ht="15" hidden="false" customHeight="false" outlineLevel="0" collapsed="false">
      <c r="A28" s="5" t="n">
        <v>2023</v>
      </c>
      <c r="B28" s="6" t="n">
        <v>201132000000</v>
      </c>
      <c r="C28" s="6" t="n">
        <v>145279000000</v>
      </c>
      <c r="D28" s="6" t="n">
        <v>12316000000</v>
      </c>
      <c r="E28" s="6" t="n">
        <v>8359000000</v>
      </c>
      <c r="F28" s="7" t="n">
        <f aca="false">IFERROR((C28-C27)/C27,"")</f>
        <v>0.0278907858522538</v>
      </c>
      <c r="G28" s="7" t="n">
        <f aca="false">IFERROR((E28-E27)/E27,"")</f>
        <v>-0.0484917472965282</v>
      </c>
      <c r="H28" s="8" t="n">
        <f aca="false">IFERROR(C28/E28,"")</f>
        <v>17.3799497547554</v>
      </c>
      <c r="I28" s="9" t="n">
        <f aca="false">IFERROR(C28/C$6*100,"")</f>
        <v>147.79295821931</v>
      </c>
      <c r="J28" s="9" t="n">
        <f aca="false">IFERROR(E28/E$6*100,"")</f>
        <v>112.898433279308</v>
      </c>
    </row>
    <row r="29" customFormat="false" ht="15" hidden="false" customHeight="false" outlineLevel="0" collapsed="false">
      <c r="A29" s="10" t="n">
        <v>2024</v>
      </c>
      <c r="B29" s="11" t="n">
        <v>206612000000</v>
      </c>
      <c r="C29" s="11" t="n">
        <v>142577000000</v>
      </c>
      <c r="D29" s="11" t="n">
        <v>11647000000</v>
      </c>
      <c r="E29" s="11" t="n">
        <v>7776000000</v>
      </c>
      <c r="F29" s="12" t="n">
        <f aca="false">IFERROR((C29-C28)/C28,"")</f>
        <v>-0.018598696301599</v>
      </c>
      <c r="G29" s="12" t="n">
        <f aca="false">IFERROR((E29-E28)/E28,"")</f>
        <v>-0.0697451848307214</v>
      </c>
      <c r="H29" s="13" t="n">
        <f aca="false">IFERROR(C29/E29,"")</f>
        <v>18.3355195473251</v>
      </c>
      <c r="I29" s="14" t="n">
        <f aca="false">IFERROR(C29/C$6*100,"")</f>
        <v>145.044201873875</v>
      </c>
      <c r="J29" s="14" t="n">
        <f aca="false">IFERROR(E29/E$6*100,"")</f>
        <v>105.024311183144</v>
      </c>
    </row>
    <row r="31" customFormat="false" ht="15" hidden="false" customHeight="false" outlineLevel="0" collapsed="false">
      <c r="A31" s="15" t="s">
        <v>13</v>
      </c>
      <c r="C31" s="16" t="n">
        <f aca="false">IFERROR((C29/C6)^(1/23)-1,"")</f>
        <v>0.0162996016003643</v>
      </c>
      <c r="E31" s="16" t="n">
        <f aca="false">IFERROR((E29/E6)^(1/23)-1,"")</f>
        <v>0.00213365006158583</v>
      </c>
    </row>
    <row r="33" customFormat="false" ht="27.75" hidden="false" customHeight="true" outlineLevel="0" collapsed="false">
      <c r="A33" s="17" t="s">
        <v>14</v>
      </c>
      <c r="B33" s="17"/>
      <c r="C33" s="17"/>
      <c r="D33" s="17"/>
      <c r="E33" s="17"/>
      <c r="F33" s="17"/>
      <c r="G33" s="17"/>
      <c r="H33" s="17"/>
      <c r="I33" s="17"/>
      <c r="J33" s="17"/>
    </row>
  </sheetData>
  <mergeCells count="4">
    <mergeCell ref="A1:H1"/>
    <mergeCell ref="A2:H2"/>
    <mergeCell ref="A3:H3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15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</row>
    <row r="4" customFormat="false" ht="33.75" hidden="false" customHeight="true" outlineLevel="0" collapsed="false">
      <c r="A4" s="4" t="s">
        <v>3</v>
      </c>
      <c r="B4" s="4" t="s">
        <v>17</v>
      </c>
      <c r="C4" s="4" t="s">
        <v>18</v>
      </c>
      <c r="D4" s="4" t="s">
        <v>19</v>
      </c>
      <c r="E4" s="4" t="s">
        <v>20</v>
      </c>
    </row>
    <row r="5" customFormat="false" ht="15" hidden="false" customHeight="false" outlineLevel="0" collapsed="false">
      <c r="A5" s="5" t="n">
        <v>2001</v>
      </c>
      <c r="B5" s="18" t="n">
        <v>1789381</v>
      </c>
      <c r="C5" s="18" t="n">
        <v>103601</v>
      </c>
      <c r="D5" s="18" t="n">
        <v>46300</v>
      </c>
      <c r="E5" s="18" t="n">
        <v>3013</v>
      </c>
    </row>
    <row r="6" customFormat="false" ht="15" hidden="false" customHeight="false" outlineLevel="0" collapsed="false">
      <c r="A6" s="10" t="n">
        <v>2002</v>
      </c>
      <c r="B6" s="19" t="n">
        <v>1792969</v>
      </c>
      <c r="C6" s="19" t="n">
        <v>104913</v>
      </c>
      <c r="D6" s="19" t="n">
        <v>45094</v>
      </c>
      <c r="E6" s="19" t="n">
        <v>2952</v>
      </c>
    </row>
    <row r="7" customFormat="false" ht="15" hidden="false" customHeight="false" outlineLevel="0" collapsed="false">
      <c r="A7" s="5" t="n">
        <v>2003</v>
      </c>
      <c r="B7" s="18" t="n">
        <v>1841599</v>
      </c>
      <c r="C7" s="18" t="n">
        <v>108445</v>
      </c>
      <c r="D7" s="18" t="n">
        <v>40333</v>
      </c>
      <c r="E7" s="18" t="n">
        <v>2687</v>
      </c>
    </row>
    <row r="8" customFormat="false" ht="15" hidden="false" customHeight="false" outlineLevel="0" collapsed="false">
      <c r="A8" s="10" t="n">
        <v>2004</v>
      </c>
      <c r="B8" s="19" t="n">
        <v>1984489</v>
      </c>
      <c r="C8" s="19" t="n">
        <v>118123</v>
      </c>
      <c r="D8" s="19" t="n">
        <v>43957</v>
      </c>
      <c r="E8" s="19" t="n">
        <v>3023</v>
      </c>
    </row>
    <row r="9" customFormat="false" ht="15" hidden="false" customHeight="false" outlineLevel="0" collapsed="false">
      <c r="A9" s="5" t="n">
        <v>2005</v>
      </c>
      <c r="B9" s="18" t="n">
        <v>2009105</v>
      </c>
      <c r="C9" s="18" t="n">
        <v>119329</v>
      </c>
      <c r="D9" s="18" t="n">
        <v>45578</v>
      </c>
      <c r="E9" s="18" t="n">
        <v>2997</v>
      </c>
    </row>
    <row r="10" customFormat="false" ht="15" hidden="false" customHeight="false" outlineLevel="0" collapsed="false">
      <c r="A10" s="10" t="n">
        <v>2006</v>
      </c>
      <c r="B10" s="19" t="n">
        <v>2040855</v>
      </c>
      <c r="C10" s="19" t="n">
        <v>121111</v>
      </c>
      <c r="D10" s="19" t="n">
        <v>47202</v>
      </c>
      <c r="E10" s="19" t="n">
        <v>3030</v>
      </c>
    </row>
    <row r="11" customFormat="false" ht="15" hidden="false" customHeight="false" outlineLevel="0" collapsed="false">
      <c r="A11" s="5" t="n">
        <v>2007</v>
      </c>
      <c r="B11" s="18" t="n">
        <v>2106948</v>
      </c>
      <c r="C11" s="18" t="n">
        <v>123738</v>
      </c>
      <c r="D11" s="18" t="n">
        <v>47724</v>
      </c>
      <c r="E11" s="18" t="n">
        <v>3060</v>
      </c>
    </row>
    <row r="12" customFormat="false" ht="15" hidden="false" customHeight="false" outlineLevel="0" collapsed="false">
      <c r="A12" s="10" t="n">
        <v>2008</v>
      </c>
      <c r="B12" s="19" t="n">
        <v>2123580</v>
      </c>
      <c r="C12" s="19" t="n">
        <v>126511</v>
      </c>
      <c r="D12" s="19" t="n">
        <v>46679</v>
      </c>
      <c r="E12" s="19" t="n">
        <v>3023</v>
      </c>
    </row>
    <row r="13" customFormat="false" ht="15" hidden="false" customHeight="false" outlineLevel="0" collapsed="false">
      <c r="A13" s="5" t="n">
        <v>2009</v>
      </c>
      <c r="B13" s="18" t="n">
        <v>2061656</v>
      </c>
      <c r="C13" s="18" t="n">
        <v>127304</v>
      </c>
      <c r="D13" s="18" t="n">
        <v>43501</v>
      </c>
      <c r="E13" s="18" t="n">
        <v>2872</v>
      </c>
    </row>
    <row r="14" customFormat="false" ht="15" hidden="false" customHeight="false" outlineLevel="0" collapsed="false">
      <c r="A14" s="10" t="n">
        <v>2010</v>
      </c>
      <c r="B14" s="19" t="n">
        <v>2085726</v>
      </c>
      <c r="C14" s="19" t="n">
        <v>129984</v>
      </c>
      <c r="D14" s="19" t="n">
        <v>42841</v>
      </c>
      <c r="E14" s="19" t="n">
        <v>2800</v>
      </c>
    </row>
    <row r="15" customFormat="false" ht="15" hidden="false" customHeight="false" outlineLevel="0" collapsed="false">
      <c r="A15" s="5" t="n">
        <v>2011</v>
      </c>
      <c r="B15" s="18" t="n">
        <v>2154861</v>
      </c>
      <c r="C15" s="18" t="n">
        <v>132033</v>
      </c>
      <c r="D15" s="18" t="n">
        <v>41349</v>
      </c>
      <c r="E15" s="18" t="n">
        <v>2834</v>
      </c>
    </row>
    <row r="16" customFormat="false" ht="15" hidden="false" customHeight="false" outlineLevel="0" collapsed="false">
      <c r="A16" s="10" t="n">
        <v>2012</v>
      </c>
      <c r="B16" s="19" t="n">
        <v>2166279</v>
      </c>
      <c r="C16" s="19" t="n">
        <v>128665</v>
      </c>
      <c r="D16" s="19" t="n">
        <v>43491</v>
      </c>
      <c r="E16" s="19" t="n">
        <v>2863</v>
      </c>
    </row>
    <row r="17" customFormat="false" ht="15" hidden="false" customHeight="false" outlineLevel="0" collapsed="false">
      <c r="A17" s="5" t="n">
        <v>2013</v>
      </c>
      <c r="B17" s="18" t="n">
        <v>2245080</v>
      </c>
      <c r="C17" s="18" t="n">
        <v>130830</v>
      </c>
      <c r="D17" s="18" t="n">
        <v>45229</v>
      </c>
      <c r="E17" s="18" t="n">
        <v>2916</v>
      </c>
    </row>
    <row r="18" customFormat="false" ht="15" hidden="false" customHeight="false" outlineLevel="0" collapsed="false">
      <c r="A18" s="10" t="n">
        <v>2014</v>
      </c>
      <c r="B18" s="19" t="n">
        <v>2317292</v>
      </c>
      <c r="C18" s="19" t="n">
        <v>132706</v>
      </c>
      <c r="D18" s="19" t="n">
        <v>45819</v>
      </c>
      <c r="E18" s="19" t="n">
        <v>2899</v>
      </c>
    </row>
    <row r="19" customFormat="false" ht="15" hidden="false" customHeight="false" outlineLevel="0" collapsed="false">
      <c r="A19" s="5" t="n">
        <v>2015</v>
      </c>
      <c r="B19" s="18" t="n">
        <v>2398642</v>
      </c>
      <c r="C19" s="18" t="n">
        <v>134422</v>
      </c>
      <c r="D19" s="18" t="n">
        <v>47514</v>
      </c>
      <c r="E19" s="18" t="n">
        <v>2899</v>
      </c>
    </row>
    <row r="20" customFormat="false" ht="15" hidden="false" customHeight="false" outlineLevel="0" collapsed="false">
      <c r="A20" s="10" t="n">
        <v>2016</v>
      </c>
      <c r="B20" s="19" t="n">
        <v>2469676</v>
      </c>
      <c r="C20" s="19" t="n">
        <v>136166</v>
      </c>
      <c r="D20" s="19" t="n">
        <v>47886</v>
      </c>
      <c r="E20" s="19" t="n">
        <v>2908</v>
      </c>
    </row>
    <row r="21" customFormat="false" ht="15" hidden="false" customHeight="false" outlineLevel="0" collapsed="false">
      <c r="A21" s="5" t="n">
        <v>2017</v>
      </c>
      <c r="B21" s="18" t="n">
        <v>2553862</v>
      </c>
      <c r="C21" s="18" t="n">
        <v>142171</v>
      </c>
      <c r="D21" s="18" t="n">
        <v>48635</v>
      </c>
      <c r="E21" s="18" t="n">
        <v>2966</v>
      </c>
    </row>
    <row r="22" customFormat="false" ht="15" hidden="false" customHeight="false" outlineLevel="0" collapsed="false">
      <c r="A22" s="10" t="n">
        <v>2018</v>
      </c>
      <c r="B22" s="19" t="n">
        <v>2582493</v>
      </c>
      <c r="C22" s="19" t="n">
        <v>144548</v>
      </c>
      <c r="D22" s="19" t="n">
        <v>50881</v>
      </c>
      <c r="E22" s="19" t="n">
        <v>3019</v>
      </c>
    </row>
    <row r="23" customFormat="false" ht="15" hidden="false" customHeight="false" outlineLevel="0" collapsed="false">
      <c r="A23" s="5" t="n">
        <v>2019</v>
      </c>
      <c r="B23" s="18" t="n">
        <v>2612450</v>
      </c>
      <c r="C23" s="18" t="n">
        <v>147208</v>
      </c>
      <c r="D23" s="18" t="n">
        <v>53665</v>
      </c>
      <c r="E23" s="18" t="n">
        <v>3101</v>
      </c>
    </row>
    <row r="24" customFormat="false" ht="15" hidden="false" customHeight="false" outlineLevel="0" collapsed="false">
      <c r="A24" s="10" t="n">
        <v>2020</v>
      </c>
      <c r="B24" s="19" t="n">
        <v>1944701</v>
      </c>
      <c r="C24" s="19" t="n">
        <v>146071</v>
      </c>
      <c r="D24" s="19" t="n">
        <v>53503</v>
      </c>
      <c r="E24" s="19" t="n">
        <v>3148</v>
      </c>
    </row>
    <row r="25" customFormat="false" ht="15" hidden="false" customHeight="false" outlineLevel="0" collapsed="false">
      <c r="A25" s="5" t="n">
        <v>2021</v>
      </c>
      <c r="B25" s="18" t="n">
        <v>2128992</v>
      </c>
      <c r="C25" s="18" t="n">
        <v>144749</v>
      </c>
      <c r="D25" s="18" t="n">
        <v>53314</v>
      </c>
      <c r="E25" s="18" t="n">
        <v>3214</v>
      </c>
    </row>
    <row r="26" customFormat="false" ht="15" hidden="false" customHeight="false" outlineLevel="0" collapsed="false">
      <c r="A26" s="10" t="n">
        <v>2022</v>
      </c>
      <c r="B26" s="19" t="n">
        <v>2464275</v>
      </c>
      <c r="C26" s="19" t="n">
        <v>151867</v>
      </c>
      <c r="D26" s="19" t="n">
        <v>54299</v>
      </c>
      <c r="E26" s="19" t="n">
        <v>3384</v>
      </c>
    </row>
    <row r="27" customFormat="false" ht="15" hidden="false" customHeight="false" outlineLevel="0" collapsed="false">
      <c r="A27" s="5" t="n">
        <v>2023</v>
      </c>
      <c r="B27" s="18" t="n">
        <v>2563669</v>
      </c>
      <c r="C27" s="18" t="n">
        <v>154603</v>
      </c>
      <c r="D27" s="18" t="n">
        <v>54657</v>
      </c>
      <c r="E27" s="18" t="n">
        <v>3454</v>
      </c>
    </row>
    <row r="28" customFormat="false" ht="15" hidden="false" customHeight="false" outlineLevel="0" collapsed="false">
      <c r="A28" s="10" t="n">
        <v>2024</v>
      </c>
      <c r="B28" s="19" t="n">
        <v>2583553</v>
      </c>
      <c r="C28" s="19" t="n">
        <v>156577</v>
      </c>
      <c r="D28" s="19" t="n">
        <v>57657</v>
      </c>
      <c r="E28" s="19" t="n">
        <v>3576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0"/>
  </cols>
  <sheetData>
    <row r="1" customFormat="false" ht="19.7" hidden="false" customHeight="false" outlineLevel="0" collapsed="false">
      <c r="A1" s="1" t="s">
        <v>21</v>
      </c>
      <c r="B1" s="1"/>
      <c r="C1" s="1"/>
    </row>
    <row r="2" customFormat="false" ht="15" hidden="false" customHeight="false" outlineLevel="0" collapsed="false">
      <c r="A2" s="2" t="s">
        <v>22</v>
      </c>
      <c r="B2" s="2"/>
      <c r="C2" s="2"/>
    </row>
    <row r="4" customFormat="false" ht="15" hidden="false" customHeight="true" outlineLevel="0" collapsed="false">
      <c r="A4" s="4" t="s">
        <v>23</v>
      </c>
      <c r="B4" s="4" t="s">
        <v>24</v>
      </c>
      <c r="C4" s="4"/>
    </row>
    <row r="5" customFormat="false" ht="30" hidden="false" customHeight="true" outlineLevel="0" collapsed="false">
      <c r="A5" s="20" t="s">
        <v>25</v>
      </c>
      <c r="B5" s="21" t="s">
        <v>26</v>
      </c>
      <c r="C5" s="21"/>
    </row>
    <row r="6" customFormat="false" ht="30" hidden="false" customHeight="true" outlineLevel="0" collapsed="false">
      <c r="A6" s="22" t="s">
        <v>27</v>
      </c>
      <c r="B6" s="23" t="s">
        <v>28</v>
      </c>
      <c r="C6" s="23"/>
    </row>
    <row r="7" customFormat="false" ht="30" hidden="false" customHeight="true" outlineLevel="0" collapsed="false">
      <c r="A7" s="20" t="s">
        <v>29</v>
      </c>
      <c r="B7" s="21" t="s">
        <v>30</v>
      </c>
      <c r="C7" s="21"/>
    </row>
    <row r="8" customFormat="false" ht="30" hidden="false" customHeight="true" outlineLevel="0" collapsed="false">
      <c r="A8" s="22" t="s">
        <v>31</v>
      </c>
      <c r="B8" s="23" t="s">
        <v>32</v>
      </c>
      <c r="C8" s="23"/>
    </row>
    <row r="9" customFormat="false" ht="30" hidden="false" customHeight="true" outlineLevel="0" collapsed="false">
      <c r="A9" s="20" t="s">
        <v>33</v>
      </c>
      <c r="B9" s="21" t="s">
        <v>34</v>
      </c>
      <c r="C9" s="21"/>
    </row>
    <row r="10" customFormat="false" ht="30" hidden="false" customHeight="true" outlineLevel="0" collapsed="false">
      <c r="A10" s="22" t="s">
        <v>35</v>
      </c>
      <c r="B10" s="23" t="s">
        <v>36</v>
      </c>
      <c r="C10" s="23"/>
    </row>
    <row r="11" customFormat="false" ht="30" hidden="false" customHeight="true" outlineLevel="0" collapsed="false">
      <c r="A11" s="20" t="s">
        <v>37</v>
      </c>
      <c r="B11" s="21" t="s">
        <v>38</v>
      </c>
      <c r="C11" s="21"/>
    </row>
    <row r="12" customFormat="false" ht="30" hidden="false" customHeight="true" outlineLevel="0" collapsed="false">
      <c r="A12" s="22" t="s">
        <v>39</v>
      </c>
      <c r="B12" s="23" t="s">
        <v>40</v>
      </c>
      <c r="C12" s="23"/>
    </row>
    <row r="13" customFormat="false" ht="30" hidden="false" customHeight="true" outlineLevel="0" collapsed="false">
      <c r="A13" s="20" t="s">
        <v>41</v>
      </c>
      <c r="B13" s="21" t="s">
        <v>42</v>
      </c>
      <c r="C13" s="21"/>
    </row>
    <row r="14" customFormat="false" ht="30" hidden="false" customHeight="true" outlineLevel="0" collapsed="false">
      <c r="A14" s="22" t="s">
        <v>43</v>
      </c>
      <c r="B14" s="23" t="s">
        <v>44</v>
      </c>
      <c r="C14" s="23"/>
    </row>
    <row r="15" customFormat="false" ht="30" hidden="false" customHeight="true" outlineLevel="0" collapsed="false">
      <c r="A15" s="20" t="s">
        <v>45</v>
      </c>
      <c r="B15" s="21" t="s">
        <v>46</v>
      </c>
      <c r="C15" s="21"/>
    </row>
    <row r="16" customFormat="false" ht="30" hidden="false" customHeight="true" outlineLevel="0" collapsed="false">
      <c r="A16" s="22" t="s">
        <v>47</v>
      </c>
      <c r="B16" s="23" t="s">
        <v>48</v>
      </c>
      <c r="C16" s="23"/>
    </row>
    <row r="17" customFormat="false" ht="30" hidden="false" customHeight="true" outlineLevel="0" collapsed="false">
      <c r="A17" s="20" t="s">
        <v>49</v>
      </c>
      <c r="B17" s="21" t="s">
        <v>50</v>
      </c>
      <c r="C17" s="21"/>
    </row>
    <row r="18" customFormat="false" ht="30" hidden="false" customHeight="true" outlineLevel="0" collapsed="false">
      <c r="A18" s="22" t="s">
        <v>51</v>
      </c>
      <c r="B18" s="23" t="s">
        <v>52</v>
      </c>
      <c r="C18" s="23"/>
    </row>
    <row r="19" customFormat="false" ht="30" hidden="false" customHeight="true" outlineLevel="0" collapsed="false">
      <c r="A19" s="20" t="s">
        <v>53</v>
      </c>
      <c r="B19" s="21" t="s">
        <v>54</v>
      </c>
      <c r="C19" s="21"/>
    </row>
    <row r="21" customFormat="false" ht="39.75" hidden="false" customHeight="true" outlineLevel="0" collapsed="false">
      <c r="A21" s="24" t="s">
        <v>55</v>
      </c>
      <c r="B21" s="24"/>
      <c r="C21" s="24"/>
    </row>
  </sheetData>
  <mergeCells count="19"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2026-09-12T23:35:02Z</dcterms:created>
  <dc:creator>openpyxl</dc:creator>
  <dc:description/>
  <dc:language>en-US</dc:language>
  <cp:lastModifiedBy/>
  <dcterms:modified xsi:type="dcterms:W3CDTF">2026-09-12T23:35:04Z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